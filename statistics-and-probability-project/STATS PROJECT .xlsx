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3rd semester\"/>
    </mc:Choice>
  </mc:AlternateContent>
  <bookViews>
    <workbookView xWindow="0" yWindow="0" windowWidth="19200" windowHeight="7190" activeTab="1"/>
  </bookViews>
  <sheets>
    <sheet name="Sheet1" sheetId="1" r:id="rId1"/>
    <sheet name="Sheet6" sheetId="6" r:id="rId2"/>
    <sheet name="Sheet5" sheetId="5" r:id="rId3"/>
    <sheet name="Sheet2" sheetId="2" r:id="rId4"/>
    <sheet name="Sheet3" sheetId="3" r:id="rId5"/>
    <sheet name="Sheet4" sheetId="4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6" l="1"/>
  <c r="F4" i="6"/>
  <c r="F3" i="6"/>
  <c r="F2" i="6"/>
  <c r="B7" i="6"/>
  <c r="B8" i="6" s="1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5" i="5"/>
  <c r="B5" i="4"/>
  <c r="B107" i="4" s="1"/>
  <c r="B7" i="3"/>
  <c r="B6" i="3"/>
  <c r="B5" i="3"/>
  <c r="F2" i="2"/>
  <c r="F3" i="2"/>
  <c r="F4" i="2"/>
  <c r="F5" i="2"/>
  <c r="F11" i="2" s="1"/>
  <c r="F6" i="2"/>
  <c r="F7" i="2"/>
  <c r="F8" i="2"/>
  <c r="F9" i="2"/>
  <c r="F10" i="2"/>
  <c r="F12" i="2"/>
</calcChain>
</file>

<file path=xl/sharedStrings.xml><?xml version="1.0" encoding="utf-8"?>
<sst xmlns="http://schemas.openxmlformats.org/spreadsheetml/2006/main" count="45" uniqueCount="39">
  <si>
    <t>Day</t>
  </si>
  <si>
    <t>Lines of Code (LOC)</t>
  </si>
  <si>
    <t>Unit_Cost (Col A)</t>
  </si>
  <si>
    <t>Unit_Price (Col B)</t>
  </si>
  <si>
    <t>Profit (Col C)</t>
  </si>
  <si>
    <t>Mean Cost</t>
  </si>
  <si>
    <t>Median Cost</t>
  </si>
  <si>
    <t>Mode Cost</t>
  </si>
  <si>
    <t>Std Dev Cost</t>
  </si>
  <si>
    <t>Mean Price</t>
  </si>
  <si>
    <t>Median Price</t>
  </si>
  <si>
    <t>Mode Price</t>
  </si>
  <si>
    <t>Mean Profit</t>
  </si>
  <si>
    <t>Std Dev Profit</t>
  </si>
  <si>
    <t>Labels (Column E)</t>
  </si>
  <si>
    <t>Formulas (Column F)</t>
  </si>
  <si>
    <t>CV Cost (%)</t>
  </si>
  <si>
    <t>CV Profit (%)</t>
  </si>
  <si>
    <t>Labels (Column A)</t>
  </si>
  <si>
    <t>Mean</t>
  </si>
  <si>
    <t>Standard Deviation</t>
  </si>
  <si>
    <t>(a) P(X &lt; 100)</t>
  </si>
  <si>
    <t>(b) P(110 &lt; X &lt; 130)</t>
  </si>
  <si>
    <t>(c) 90th Percentile</t>
  </si>
  <si>
    <t>Total Students</t>
  </si>
  <si>
    <t>Students Scoring &gt; 85</t>
  </si>
  <si>
    <t>Student ID</t>
  </si>
  <si>
    <t>Exam Score</t>
  </si>
  <si>
    <t xml:space="preserve"> </t>
  </si>
  <si>
    <t>SD</t>
  </si>
  <si>
    <t>Speed (Mbps)</t>
  </si>
  <si>
    <t>PDF (value)</t>
  </si>
  <si>
    <t>Column A (Labels)</t>
  </si>
  <si>
    <t>Population Mean</t>
  </si>
  <si>
    <t>Population SD</t>
  </si>
  <si>
    <t>Sample Size (n)</t>
  </si>
  <si>
    <t>Sample Mean</t>
  </si>
  <si>
    <t>Z-Statistic</t>
  </si>
  <si>
    <t>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</si>
</sst>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  <xf numFmtId="0" fontId="3" fillId="0" borderId="2" xfId="0" applyFont="1" applyBorder="1" applyAlignment="1">
      <alignment vertical="center" wrapText="1" readingOrder="1"/>
    </xf>
    <xf numFmtId="0" fontId="2" fillId="0" borderId="2" xfId="0" applyFont="1" applyBorder="1" applyAlignment="1">
      <alignment vertical="center" wrapText="1" readingOrder="1"/>
    </xf>
    <xf numFmtId="0" fontId="4" fillId="0" borderId="2" xfId="0" applyFont="1" applyBorder="1" applyAlignment="1">
      <alignment vertical="center" wrapText="1" readingOrder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Daily Developer Productivity Tracking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381012983131941E-2"/>
          <c:y val="0.14488601228511355"/>
          <c:w val="0.8867102127719575"/>
          <c:h val="0.633123989725648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Lines of Code (LOC)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Sheet1!$B$2:$B$51</c:f>
              <c:numCache>
                <c:formatCode>General</c:formatCode>
                <c:ptCount val="50"/>
                <c:pt idx="0">
                  <c:v>72</c:v>
                </c:pt>
                <c:pt idx="1">
                  <c:v>45</c:v>
                </c:pt>
                <c:pt idx="2">
                  <c:v>98</c:v>
                </c:pt>
                <c:pt idx="3">
                  <c:v>115</c:v>
                </c:pt>
                <c:pt idx="4">
                  <c:v>60</c:v>
                </c:pt>
                <c:pt idx="5">
                  <c:v>82</c:v>
                </c:pt>
                <c:pt idx="6">
                  <c:v>55</c:v>
                </c:pt>
                <c:pt idx="7">
                  <c:v>108</c:v>
                </c:pt>
                <c:pt idx="8">
                  <c:v>41</c:v>
                </c:pt>
                <c:pt idx="9">
                  <c:v>79</c:v>
                </c:pt>
                <c:pt idx="10">
                  <c:v>93</c:v>
                </c:pt>
                <c:pt idx="11">
                  <c:v>67</c:v>
                </c:pt>
                <c:pt idx="12">
                  <c:v>112</c:v>
                </c:pt>
                <c:pt idx="13">
                  <c:v>48</c:v>
                </c:pt>
                <c:pt idx="14">
                  <c:v>85</c:v>
                </c:pt>
                <c:pt idx="15">
                  <c:v>70</c:v>
                </c:pt>
                <c:pt idx="16">
                  <c:v>101</c:v>
                </c:pt>
                <c:pt idx="17">
                  <c:v>53</c:v>
                </c:pt>
                <c:pt idx="18">
                  <c:v>114</c:v>
                </c:pt>
                <c:pt idx="19">
                  <c:v>66</c:v>
                </c:pt>
                <c:pt idx="20">
                  <c:v>44</c:v>
                </c:pt>
                <c:pt idx="21">
                  <c:v>87</c:v>
                </c:pt>
                <c:pt idx="22">
                  <c:v>59</c:v>
                </c:pt>
                <c:pt idx="23">
                  <c:v>106</c:v>
                </c:pt>
                <c:pt idx="24">
                  <c:v>76</c:v>
                </c:pt>
                <c:pt idx="25">
                  <c:v>84</c:v>
                </c:pt>
                <c:pt idx="26">
                  <c:v>110</c:v>
                </c:pt>
                <c:pt idx="27">
                  <c:v>65</c:v>
                </c:pt>
                <c:pt idx="28">
                  <c:v>42</c:v>
                </c:pt>
                <c:pt idx="29">
                  <c:v>88</c:v>
                </c:pt>
                <c:pt idx="30">
                  <c:v>91</c:v>
                </c:pt>
                <c:pt idx="31">
                  <c:v>102</c:v>
                </c:pt>
                <c:pt idx="32">
                  <c:v>58</c:v>
                </c:pt>
                <c:pt idx="33">
                  <c:v>77</c:v>
                </c:pt>
                <c:pt idx="34">
                  <c:v>119</c:v>
                </c:pt>
                <c:pt idx="35">
                  <c:v>63</c:v>
                </c:pt>
                <c:pt idx="36">
                  <c:v>81</c:v>
                </c:pt>
                <c:pt idx="37">
                  <c:v>95</c:v>
                </c:pt>
                <c:pt idx="38">
                  <c:v>46</c:v>
                </c:pt>
                <c:pt idx="39">
                  <c:v>105</c:v>
                </c:pt>
                <c:pt idx="40">
                  <c:v>73</c:v>
                </c:pt>
                <c:pt idx="41">
                  <c:v>89</c:v>
                </c:pt>
                <c:pt idx="42">
                  <c:v>51</c:v>
                </c:pt>
                <c:pt idx="43">
                  <c:v>111</c:v>
                </c:pt>
                <c:pt idx="44">
                  <c:v>69</c:v>
                </c:pt>
                <c:pt idx="45">
                  <c:v>78</c:v>
                </c:pt>
                <c:pt idx="46">
                  <c:v>96</c:v>
                </c:pt>
                <c:pt idx="47">
                  <c:v>54</c:v>
                </c:pt>
                <c:pt idx="48">
                  <c:v>100</c:v>
                </c:pt>
                <c:pt idx="49">
                  <c:v>80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-27"/>
        <c:axId val="-957049648"/>
        <c:axId val="-957049104"/>
      </c:barChart>
      <c:catAx>
        <c:axId val="-957049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Lines of code (LOC) per</a:t>
                </a:r>
                <a:r>
                  <a:rPr lang="en-US" baseline="0"/>
                  <a:t> day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57049104"/>
        <c:crosses val="autoZero"/>
        <c:auto val="1"/>
        <c:lblAlgn val="ctr"/>
        <c:lblOffset val="100"/>
        <c:noMultiLvlLbl val="0"/>
      </c:catAx>
      <c:valAx>
        <c:axId val="-95704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57049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Sheet5!$A$5:$A$25</c:f>
              <c:numCache>
                <c:formatCode>General</c:formatCode>
                <c:ptCount val="21"/>
                <c:pt idx="0">
                  <c:v>30</c:v>
                </c:pt>
                <c:pt idx="1">
                  <c:v>32</c:v>
                </c:pt>
                <c:pt idx="2">
                  <c:v>34</c:v>
                </c:pt>
                <c:pt idx="3">
                  <c:v>36</c:v>
                </c:pt>
                <c:pt idx="4">
                  <c:v>38</c:v>
                </c:pt>
                <c:pt idx="5">
                  <c:v>40</c:v>
                </c:pt>
                <c:pt idx="6">
                  <c:v>42</c:v>
                </c:pt>
                <c:pt idx="7">
                  <c:v>44</c:v>
                </c:pt>
                <c:pt idx="8">
                  <c:v>46</c:v>
                </c:pt>
                <c:pt idx="9">
                  <c:v>48</c:v>
                </c:pt>
                <c:pt idx="10">
                  <c:v>50</c:v>
                </c:pt>
                <c:pt idx="11">
                  <c:v>52</c:v>
                </c:pt>
                <c:pt idx="12">
                  <c:v>54</c:v>
                </c:pt>
                <c:pt idx="13">
                  <c:v>56</c:v>
                </c:pt>
                <c:pt idx="14">
                  <c:v>58</c:v>
                </c:pt>
                <c:pt idx="15">
                  <c:v>60</c:v>
                </c:pt>
                <c:pt idx="16">
                  <c:v>62</c:v>
                </c:pt>
                <c:pt idx="17">
                  <c:v>64</c:v>
                </c:pt>
                <c:pt idx="18">
                  <c:v>66</c:v>
                </c:pt>
                <c:pt idx="19">
                  <c:v>68</c:v>
                </c:pt>
                <c:pt idx="20">
                  <c:v>70</c:v>
                </c:pt>
              </c:numCache>
            </c:numRef>
          </c:xVal>
          <c:yVal>
            <c:numRef>
              <c:f>Sheet5!$B$5:$B$25</c:f>
              <c:numCache>
                <c:formatCode>General</c:formatCode>
                <c:ptCount val="21"/>
                <c:pt idx="0">
                  <c:v>2.6766045152977071E-5</c:v>
                </c:pt>
                <c:pt idx="1">
                  <c:v>1.2238038602275437E-4</c:v>
                </c:pt>
                <c:pt idx="2">
                  <c:v>4.768176402929681E-4</c:v>
                </c:pt>
                <c:pt idx="3">
                  <c:v>1.5830903165959939E-3</c:v>
                </c:pt>
                <c:pt idx="4">
                  <c:v>4.4789060589685804E-3</c:v>
                </c:pt>
                <c:pt idx="5">
                  <c:v>1.0798193302637612E-2</c:v>
                </c:pt>
                <c:pt idx="6">
                  <c:v>2.2184166935891109E-2</c:v>
                </c:pt>
                <c:pt idx="7">
                  <c:v>3.8837210996642592E-2</c:v>
                </c:pt>
                <c:pt idx="8">
                  <c:v>5.7938310552296549E-2</c:v>
                </c:pt>
                <c:pt idx="9">
                  <c:v>7.3654028060664664E-2</c:v>
                </c:pt>
                <c:pt idx="10">
                  <c:v>7.9788456080286549E-2</c:v>
                </c:pt>
                <c:pt idx="11">
                  <c:v>7.3654028060664664E-2</c:v>
                </c:pt>
                <c:pt idx="12">
                  <c:v>5.7938310552296549E-2</c:v>
                </c:pt>
                <c:pt idx="13">
                  <c:v>3.8837210996642592E-2</c:v>
                </c:pt>
                <c:pt idx="14">
                  <c:v>2.2184166935891109E-2</c:v>
                </c:pt>
                <c:pt idx="15">
                  <c:v>1.0798193302637612E-2</c:v>
                </c:pt>
                <c:pt idx="16">
                  <c:v>4.4789060589685804E-3</c:v>
                </c:pt>
                <c:pt idx="17">
                  <c:v>1.5830903165959939E-3</c:v>
                </c:pt>
                <c:pt idx="18">
                  <c:v>4.768176402929681E-4</c:v>
                </c:pt>
                <c:pt idx="19">
                  <c:v>1.2238038602275437E-4</c:v>
                </c:pt>
                <c:pt idx="20">
                  <c:v>2.6766045152977071E-5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57055088"/>
        <c:axId val="-957048016"/>
      </c:scatterChart>
      <c:valAx>
        <c:axId val="-957055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57048016"/>
        <c:crosses val="autoZero"/>
        <c:crossBetween val="midCat"/>
      </c:valAx>
      <c:valAx>
        <c:axId val="-95704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57055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baseline="0"/>
              <a:t>Distribution of Simulated Exam Scores (Mean=75, SD=10).</a:t>
            </a:r>
            <a:endParaRPr lang="en-US" sz="11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Sheet4!$B$7:$B$106</c:f>
              <c:numCache>
                <c:formatCode>General</c:formatCode>
                <c:ptCount val="100"/>
                <c:pt idx="0">
                  <c:v>79.97</c:v>
                </c:pt>
                <c:pt idx="1">
                  <c:v>73.62</c:v>
                </c:pt>
                <c:pt idx="2">
                  <c:v>81.48</c:v>
                </c:pt>
                <c:pt idx="3">
                  <c:v>90.23</c:v>
                </c:pt>
                <c:pt idx="4">
                  <c:v>72.66</c:v>
                </c:pt>
                <c:pt idx="5">
                  <c:v>70.319999999999993</c:v>
                </c:pt>
                <c:pt idx="6">
                  <c:v>82.55</c:v>
                </c:pt>
                <c:pt idx="7">
                  <c:v>74.31</c:v>
                </c:pt>
                <c:pt idx="8">
                  <c:v>68.989999999999995</c:v>
                </c:pt>
                <c:pt idx="9">
                  <c:v>85.12</c:v>
                </c:pt>
                <c:pt idx="10">
                  <c:v>75.05</c:v>
                </c:pt>
                <c:pt idx="11">
                  <c:v>77.209999999999994</c:v>
                </c:pt>
                <c:pt idx="12">
                  <c:v>62.45</c:v>
                </c:pt>
                <c:pt idx="13">
                  <c:v>88.34</c:v>
                </c:pt>
                <c:pt idx="14">
                  <c:v>74.900000000000006</c:v>
                </c:pt>
                <c:pt idx="15">
                  <c:v>71.099999999999994</c:v>
                </c:pt>
                <c:pt idx="16">
                  <c:v>80.05</c:v>
                </c:pt>
                <c:pt idx="17">
                  <c:v>76.44</c:v>
                </c:pt>
                <c:pt idx="18">
                  <c:v>65.88</c:v>
                </c:pt>
                <c:pt idx="19">
                  <c:v>79.12</c:v>
                </c:pt>
                <c:pt idx="20">
                  <c:v>71.45</c:v>
                </c:pt>
                <c:pt idx="21">
                  <c:v>82.1</c:v>
                </c:pt>
                <c:pt idx="22">
                  <c:v>75.34</c:v>
                </c:pt>
                <c:pt idx="23">
                  <c:v>69.12</c:v>
                </c:pt>
                <c:pt idx="24">
                  <c:v>77.89</c:v>
                </c:pt>
                <c:pt idx="25">
                  <c:v>88.01</c:v>
                </c:pt>
                <c:pt idx="26">
                  <c:v>74.23</c:v>
                </c:pt>
                <c:pt idx="27">
                  <c:v>70.56</c:v>
                </c:pt>
                <c:pt idx="28">
                  <c:v>83.45</c:v>
                </c:pt>
                <c:pt idx="29">
                  <c:v>76.12</c:v>
                </c:pt>
                <c:pt idx="30">
                  <c:v>65.34</c:v>
                </c:pt>
                <c:pt idx="31">
                  <c:v>78.22</c:v>
                </c:pt>
                <c:pt idx="32">
                  <c:v>72.900000000000006</c:v>
                </c:pt>
                <c:pt idx="33">
                  <c:v>80.55</c:v>
                </c:pt>
                <c:pt idx="34">
                  <c:v>84.11</c:v>
                </c:pt>
                <c:pt idx="35">
                  <c:v>71.05</c:v>
                </c:pt>
                <c:pt idx="36">
                  <c:v>75.989999999999995</c:v>
                </c:pt>
                <c:pt idx="37">
                  <c:v>63.88</c:v>
                </c:pt>
                <c:pt idx="38">
                  <c:v>77.44</c:v>
                </c:pt>
                <c:pt idx="39">
                  <c:v>81.22</c:v>
                </c:pt>
                <c:pt idx="40">
                  <c:v>68.319999999999993</c:v>
                </c:pt>
                <c:pt idx="41">
                  <c:v>79.11</c:v>
                </c:pt>
                <c:pt idx="42">
                  <c:v>86.45</c:v>
                </c:pt>
                <c:pt idx="43">
                  <c:v>73.2</c:v>
                </c:pt>
                <c:pt idx="44">
                  <c:v>60.12</c:v>
                </c:pt>
                <c:pt idx="45">
                  <c:v>75.55</c:v>
                </c:pt>
                <c:pt idx="46">
                  <c:v>81.33</c:v>
                </c:pt>
                <c:pt idx="47">
                  <c:v>72.010000000000005</c:v>
                </c:pt>
                <c:pt idx="48">
                  <c:v>67.88</c:v>
                </c:pt>
                <c:pt idx="49">
                  <c:v>79.900000000000006</c:v>
                </c:pt>
                <c:pt idx="50">
                  <c:v>74.44</c:v>
                </c:pt>
                <c:pt idx="51">
                  <c:v>82.11</c:v>
                </c:pt>
                <c:pt idx="52">
                  <c:v>70.55</c:v>
                </c:pt>
                <c:pt idx="53">
                  <c:v>66.88</c:v>
                </c:pt>
                <c:pt idx="54">
                  <c:v>73.33</c:v>
                </c:pt>
                <c:pt idx="55">
                  <c:v>78.44</c:v>
                </c:pt>
                <c:pt idx="56">
                  <c:v>85.02</c:v>
                </c:pt>
                <c:pt idx="57">
                  <c:v>69.11</c:v>
                </c:pt>
                <c:pt idx="58">
                  <c:v>72.55</c:v>
                </c:pt>
                <c:pt idx="59">
                  <c:v>76.989999999999995</c:v>
                </c:pt>
                <c:pt idx="60">
                  <c:v>74.88</c:v>
                </c:pt>
                <c:pt idx="61">
                  <c:v>65.430000000000007</c:v>
                </c:pt>
                <c:pt idx="62">
                  <c:v>77.02</c:v>
                </c:pt>
                <c:pt idx="63">
                  <c:v>81.19</c:v>
                </c:pt>
                <c:pt idx="64">
                  <c:v>70.33</c:v>
                </c:pt>
                <c:pt idx="65">
                  <c:v>72.88</c:v>
                </c:pt>
                <c:pt idx="66">
                  <c:v>89.44</c:v>
                </c:pt>
                <c:pt idx="67">
                  <c:v>76.55</c:v>
                </c:pt>
                <c:pt idx="68">
                  <c:v>64.12</c:v>
                </c:pt>
                <c:pt idx="69">
                  <c:v>71.22</c:v>
                </c:pt>
                <c:pt idx="70">
                  <c:v>83.56</c:v>
                </c:pt>
                <c:pt idx="71">
                  <c:v>77.900000000000006</c:v>
                </c:pt>
                <c:pt idx="72">
                  <c:v>69.33</c:v>
                </c:pt>
                <c:pt idx="73">
                  <c:v>75.11</c:v>
                </c:pt>
                <c:pt idx="74">
                  <c:v>81.44</c:v>
                </c:pt>
                <c:pt idx="75">
                  <c:v>72.66</c:v>
                </c:pt>
                <c:pt idx="76">
                  <c:v>74.010000000000005</c:v>
                </c:pt>
                <c:pt idx="77">
                  <c:v>67.55</c:v>
                </c:pt>
                <c:pt idx="78">
                  <c:v>80.33</c:v>
                </c:pt>
                <c:pt idx="79">
                  <c:v>78.11</c:v>
                </c:pt>
                <c:pt idx="80">
                  <c:v>76.209999999999994</c:v>
                </c:pt>
                <c:pt idx="81">
                  <c:v>69.900000000000006</c:v>
                </c:pt>
                <c:pt idx="82">
                  <c:v>72.150000000000006</c:v>
                </c:pt>
                <c:pt idx="83">
                  <c:v>84.55</c:v>
                </c:pt>
                <c:pt idx="84">
                  <c:v>75.67</c:v>
                </c:pt>
                <c:pt idx="85">
                  <c:v>73.22</c:v>
                </c:pt>
                <c:pt idx="86">
                  <c:v>61.4</c:v>
                </c:pt>
                <c:pt idx="87">
                  <c:v>78.33</c:v>
                </c:pt>
                <c:pt idx="88">
                  <c:v>80.05</c:v>
                </c:pt>
                <c:pt idx="89">
                  <c:v>75.44</c:v>
                </c:pt>
                <c:pt idx="90">
                  <c:v>68.77</c:v>
                </c:pt>
                <c:pt idx="91">
                  <c:v>74.209999999999994</c:v>
                </c:pt>
                <c:pt idx="92">
                  <c:v>86.1</c:v>
                </c:pt>
                <c:pt idx="93">
                  <c:v>79.33</c:v>
                </c:pt>
                <c:pt idx="94">
                  <c:v>70.02</c:v>
                </c:pt>
                <c:pt idx="95">
                  <c:v>73.88</c:v>
                </c:pt>
                <c:pt idx="96">
                  <c:v>82.55</c:v>
                </c:pt>
                <c:pt idx="97">
                  <c:v>77.12</c:v>
                </c:pt>
                <c:pt idx="98">
                  <c:v>64.989999999999995</c:v>
                </c:pt>
                <c:pt idx="99">
                  <c:v>75.25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-958591008"/>
        <c:axId val="-958582848"/>
      </c:barChart>
      <c:catAx>
        <c:axId val="-958591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Exam Scores.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9211917763302049"/>
              <c:y val="0.882382163171122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58582848"/>
        <c:crosses val="autoZero"/>
        <c:auto val="1"/>
        <c:lblAlgn val="ctr"/>
        <c:lblOffset val="100"/>
        <c:noMultiLvlLbl val="0"/>
      </c:catAx>
      <c:valAx>
        <c:axId val="-95858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Frequency (Number of Students).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58591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336550</xdr:colOff>
      <xdr:row>15</xdr:row>
      <xdr:rowOff>55691</xdr:rowOff>
    </xdr:from>
    <xdr:to>
      <xdr:col>20</xdr:col>
      <xdr:colOff>457200</xdr:colOff>
      <xdr:row>34</xdr:row>
      <xdr:rowOff>74741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391847</xdr:colOff>
      <xdr:row>8</xdr:row>
      <xdr:rowOff>93435</xdr:rowOff>
    </xdr:from>
    <xdr:to>
      <xdr:col>16</xdr:col>
      <xdr:colOff>101955</xdr:colOff>
      <xdr:row>23</xdr:row>
      <xdr:rowOff>115207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481853</xdr:colOff>
      <xdr:row>92</xdr:row>
      <xdr:rowOff>21665</xdr:rowOff>
    </xdr:from>
    <xdr:to>
      <xdr:col>15</xdr:col>
      <xdr:colOff>153147</xdr:colOff>
      <xdr:row>106</xdr:row>
      <xdr:rowOff>45570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topLeftCell="I16" zoomScaleNormal="100" workbookViewId="0">
      <selection activeCell="V35" sqref="V35"/>
    </sheetView>
  </sheetViews>
  <sheetFormatPr defaultRowHeight="14.5"/>
  <sheetData>
    <row r="1" spans="1:3" ht="15" thickBot="1">
      <c r="A1" s="1" t="s">
        <v>0</v>
      </c>
      <c r="B1" s="2" t="s">
        <v>1</v>
      </c>
      <c r="C1" s="1"/>
    </row>
    <row r="2" spans="1:3" ht="15" thickBot="1">
      <c r="A2" s="3">
        <v>1</v>
      </c>
      <c r="B2" s="3">
        <v>72</v>
      </c>
      <c r="C2" s="1"/>
    </row>
    <row r="3" spans="1:3" ht="15" thickBot="1">
      <c r="A3" s="3">
        <v>2</v>
      </c>
      <c r="B3" s="3">
        <v>45</v>
      </c>
      <c r="C3" s="1"/>
    </row>
    <row r="4" spans="1:3" ht="15" thickBot="1">
      <c r="A4" s="3">
        <v>3</v>
      </c>
      <c r="B4" s="3">
        <v>98</v>
      </c>
      <c r="C4" s="1"/>
    </row>
    <row r="5" spans="1:3" ht="15" thickBot="1">
      <c r="A5" s="3">
        <v>4</v>
      </c>
      <c r="B5" s="3">
        <v>115</v>
      </c>
      <c r="C5" s="1"/>
    </row>
    <row r="6" spans="1:3" ht="15" thickBot="1">
      <c r="A6" s="3">
        <v>5</v>
      </c>
      <c r="B6" s="3">
        <v>60</v>
      </c>
      <c r="C6" s="1"/>
    </row>
    <row r="7" spans="1:3" ht="15" thickBot="1">
      <c r="A7" s="3">
        <v>6</v>
      </c>
      <c r="B7" s="3">
        <v>82</v>
      </c>
      <c r="C7" s="1"/>
    </row>
    <row r="8" spans="1:3" ht="15" thickBot="1">
      <c r="A8" s="3">
        <v>7</v>
      </c>
      <c r="B8" s="3">
        <v>55</v>
      </c>
      <c r="C8" s="1"/>
    </row>
    <row r="9" spans="1:3" ht="15" thickBot="1">
      <c r="A9" s="3">
        <v>8</v>
      </c>
      <c r="B9" s="3">
        <v>108</v>
      </c>
      <c r="C9" s="1"/>
    </row>
    <row r="10" spans="1:3" ht="15" thickBot="1">
      <c r="A10" s="3">
        <v>9</v>
      </c>
      <c r="B10" s="3">
        <v>41</v>
      </c>
      <c r="C10" s="1"/>
    </row>
    <row r="11" spans="1:3" ht="15" thickBot="1">
      <c r="A11" s="3">
        <v>10</v>
      </c>
      <c r="B11" s="3">
        <v>79</v>
      </c>
      <c r="C11" s="1"/>
    </row>
    <row r="12" spans="1:3" ht="15" thickBot="1">
      <c r="A12" s="3">
        <v>11</v>
      </c>
      <c r="B12" s="3">
        <v>93</v>
      </c>
      <c r="C12" s="1"/>
    </row>
    <row r="13" spans="1:3" ht="15" thickBot="1">
      <c r="A13" s="3">
        <v>12</v>
      </c>
      <c r="B13" s="3">
        <v>67</v>
      </c>
      <c r="C13" s="1"/>
    </row>
    <row r="14" spans="1:3" ht="15" thickBot="1">
      <c r="A14" s="3">
        <v>13</v>
      </c>
      <c r="B14" s="3">
        <v>112</v>
      </c>
      <c r="C14" s="1"/>
    </row>
    <row r="15" spans="1:3" ht="15" thickBot="1">
      <c r="A15" s="3">
        <v>14</v>
      </c>
      <c r="B15" s="3">
        <v>48</v>
      </c>
      <c r="C15" s="1"/>
    </row>
    <row r="16" spans="1:3" ht="15" thickBot="1">
      <c r="A16" s="3">
        <v>15</v>
      </c>
      <c r="B16" s="3">
        <v>85</v>
      </c>
      <c r="C16" s="1"/>
    </row>
    <row r="17" spans="1:3" ht="15" thickBot="1">
      <c r="A17" s="3">
        <v>16</v>
      </c>
      <c r="B17" s="3">
        <v>70</v>
      </c>
      <c r="C17" s="1"/>
    </row>
    <row r="18" spans="1:3" ht="15" thickBot="1">
      <c r="A18" s="3">
        <v>17</v>
      </c>
      <c r="B18" s="3">
        <v>101</v>
      </c>
      <c r="C18" s="1"/>
    </row>
    <row r="19" spans="1:3" ht="15" thickBot="1">
      <c r="A19" s="3">
        <v>18</v>
      </c>
      <c r="B19" s="3">
        <v>53</v>
      </c>
      <c r="C19" s="1"/>
    </row>
    <row r="20" spans="1:3" ht="15" thickBot="1">
      <c r="A20" s="3">
        <v>19</v>
      </c>
      <c r="B20" s="3">
        <v>114</v>
      </c>
      <c r="C20" s="1"/>
    </row>
    <row r="21" spans="1:3" ht="15" thickBot="1">
      <c r="A21" s="3">
        <v>20</v>
      </c>
      <c r="B21" s="3">
        <v>66</v>
      </c>
      <c r="C21" s="1"/>
    </row>
    <row r="22" spans="1:3" ht="15" thickBot="1">
      <c r="A22" s="3">
        <v>21</v>
      </c>
      <c r="B22" s="3">
        <v>44</v>
      </c>
      <c r="C22" s="1"/>
    </row>
    <row r="23" spans="1:3" ht="15" thickBot="1">
      <c r="A23" s="3">
        <v>22</v>
      </c>
      <c r="B23" s="3">
        <v>87</v>
      </c>
      <c r="C23" s="1"/>
    </row>
    <row r="24" spans="1:3" ht="15" thickBot="1">
      <c r="A24" s="3">
        <v>23</v>
      </c>
      <c r="B24" s="3">
        <v>59</v>
      </c>
      <c r="C24" s="1"/>
    </row>
    <row r="25" spans="1:3" ht="15" thickBot="1">
      <c r="A25" s="3">
        <v>24</v>
      </c>
      <c r="B25" s="3">
        <v>106</v>
      </c>
      <c r="C25" s="1"/>
    </row>
    <row r="26" spans="1:3" ht="15" thickBot="1">
      <c r="A26" s="3">
        <v>25</v>
      </c>
      <c r="B26" s="3">
        <v>76</v>
      </c>
      <c r="C26" s="1"/>
    </row>
    <row r="27" spans="1:3" ht="15" thickBot="1">
      <c r="A27" s="3">
        <v>26</v>
      </c>
      <c r="B27" s="3">
        <v>84</v>
      </c>
      <c r="C27" s="1"/>
    </row>
    <row r="28" spans="1:3" ht="15" thickBot="1">
      <c r="A28" s="3">
        <v>27</v>
      </c>
      <c r="B28" s="3">
        <v>110</v>
      </c>
      <c r="C28" s="1"/>
    </row>
    <row r="29" spans="1:3" ht="15" thickBot="1">
      <c r="A29" s="3">
        <v>28</v>
      </c>
      <c r="B29" s="3">
        <v>65</v>
      </c>
      <c r="C29" s="1"/>
    </row>
    <row r="30" spans="1:3" ht="15" thickBot="1">
      <c r="A30" s="3">
        <v>29</v>
      </c>
      <c r="B30" s="3">
        <v>42</v>
      </c>
      <c r="C30" s="1"/>
    </row>
    <row r="31" spans="1:3" ht="15" thickBot="1">
      <c r="A31" s="3">
        <v>30</v>
      </c>
      <c r="B31" s="3">
        <v>88</v>
      </c>
      <c r="C31" s="1"/>
    </row>
    <row r="32" spans="1:3" ht="15" thickBot="1">
      <c r="A32" s="3">
        <v>31</v>
      </c>
      <c r="B32" s="3">
        <v>91</v>
      </c>
      <c r="C32" s="1"/>
    </row>
    <row r="33" spans="1:3" ht="15" thickBot="1">
      <c r="A33" s="3">
        <v>32</v>
      </c>
      <c r="B33" s="3">
        <v>102</v>
      </c>
      <c r="C33" s="1"/>
    </row>
    <row r="34" spans="1:3" ht="15" thickBot="1">
      <c r="A34" s="3">
        <v>33</v>
      </c>
      <c r="B34" s="3">
        <v>58</v>
      </c>
      <c r="C34" s="1"/>
    </row>
    <row r="35" spans="1:3" ht="15" thickBot="1">
      <c r="A35" s="3">
        <v>34</v>
      </c>
      <c r="B35" s="3">
        <v>77</v>
      </c>
      <c r="C35" s="1"/>
    </row>
    <row r="36" spans="1:3" ht="15" thickBot="1">
      <c r="A36" s="3">
        <v>35</v>
      </c>
      <c r="B36" s="3">
        <v>119</v>
      </c>
      <c r="C36" s="1"/>
    </row>
    <row r="37" spans="1:3" ht="15" thickBot="1">
      <c r="A37" s="3">
        <v>36</v>
      </c>
      <c r="B37" s="3">
        <v>63</v>
      </c>
      <c r="C37" s="1"/>
    </row>
    <row r="38" spans="1:3" ht="15" thickBot="1">
      <c r="A38" s="3">
        <v>37</v>
      </c>
      <c r="B38" s="3">
        <v>81</v>
      </c>
      <c r="C38" s="1"/>
    </row>
    <row r="39" spans="1:3" ht="15" thickBot="1">
      <c r="A39" s="3">
        <v>38</v>
      </c>
      <c r="B39" s="3">
        <v>95</v>
      </c>
      <c r="C39" s="1"/>
    </row>
    <row r="40" spans="1:3" ht="15" thickBot="1">
      <c r="A40" s="3">
        <v>39</v>
      </c>
      <c r="B40" s="3">
        <v>46</v>
      </c>
      <c r="C40" s="1"/>
    </row>
    <row r="41" spans="1:3" ht="15" thickBot="1">
      <c r="A41" s="3">
        <v>40</v>
      </c>
      <c r="B41" s="3">
        <v>105</v>
      </c>
      <c r="C41" s="1"/>
    </row>
    <row r="42" spans="1:3" ht="15" thickBot="1">
      <c r="A42" s="3">
        <v>41</v>
      </c>
      <c r="B42" s="3">
        <v>73</v>
      </c>
      <c r="C42" s="1"/>
    </row>
    <row r="43" spans="1:3" ht="15" thickBot="1">
      <c r="A43" s="3">
        <v>42</v>
      </c>
      <c r="B43" s="3">
        <v>89</v>
      </c>
      <c r="C43" s="1"/>
    </row>
    <row r="44" spans="1:3" ht="15" thickBot="1">
      <c r="A44" s="3">
        <v>43</v>
      </c>
      <c r="B44" s="3">
        <v>51</v>
      </c>
      <c r="C44" s="1"/>
    </row>
    <row r="45" spans="1:3" ht="15" thickBot="1">
      <c r="A45" s="3">
        <v>44</v>
      </c>
      <c r="B45" s="3">
        <v>111</v>
      </c>
      <c r="C45" s="1"/>
    </row>
    <row r="46" spans="1:3" ht="15" thickBot="1">
      <c r="A46" s="3">
        <v>45</v>
      </c>
      <c r="B46" s="3">
        <v>69</v>
      </c>
      <c r="C46" s="1"/>
    </row>
    <row r="47" spans="1:3" ht="15" thickBot="1">
      <c r="A47" s="3">
        <v>46</v>
      </c>
      <c r="B47" s="3">
        <v>78</v>
      </c>
      <c r="C47" s="1"/>
    </row>
    <row r="48" spans="1:3" ht="15" thickBot="1">
      <c r="A48" s="3">
        <v>47</v>
      </c>
      <c r="B48" s="3">
        <v>96</v>
      </c>
      <c r="C48" s="1"/>
    </row>
    <row r="49" spans="1:3" ht="15" thickBot="1">
      <c r="A49" s="3">
        <v>48</v>
      </c>
      <c r="B49" s="3">
        <v>54</v>
      </c>
      <c r="C49" s="1"/>
    </row>
    <row r="50" spans="1:3" ht="15" thickBot="1">
      <c r="A50" s="3">
        <v>49</v>
      </c>
      <c r="B50" s="3">
        <v>100</v>
      </c>
      <c r="C50" s="1"/>
    </row>
    <row r="51" spans="1:3" ht="15" thickBot="1">
      <c r="A51" s="3">
        <v>50</v>
      </c>
      <c r="B51" s="3">
        <v>80</v>
      </c>
      <c r="C51" s="1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zoomScaleNormal="100" workbookViewId="0">
      <selection activeCell="F6" sqref="F6"/>
    </sheetView>
  </sheetViews>
  <sheetFormatPr defaultRowHeight="14.5"/>
  <sheetData>
    <row r="1" spans="1:6" ht="42.5" thickBot="1">
      <c r="A1" s="4" t="s">
        <v>32</v>
      </c>
      <c r="B1" s="4"/>
      <c r="D1" s="4" t="s">
        <v>28</v>
      </c>
    </row>
    <row r="2" spans="1:6" ht="28.5" thickBot="1">
      <c r="A2" s="5" t="s">
        <v>33</v>
      </c>
      <c r="B2" s="5">
        <v>2.5</v>
      </c>
      <c r="D2" s="5">
        <v>5.2</v>
      </c>
      <c r="F2">
        <f>AVERAGE(D2:D16)</f>
        <v>4.9266666666666667</v>
      </c>
    </row>
    <row r="3" spans="1:6" ht="28.5" thickBot="1">
      <c r="A3" s="5" t="s">
        <v>34</v>
      </c>
      <c r="B3" s="5">
        <v>0.4</v>
      </c>
      <c r="D3" s="5">
        <v>4.8</v>
      </c>
      <c r="F3">
        <f>_xlfn.STDEV.S(D2:D16)</f>
        <v>0.81193478508934869</v>
      </c>
    </row>
    <row r="4" spans="1:6" ht="28.5" thickBot="1">
      <c r="A4" s="5" t="s">
        <v>35</v>
      </c>
      <c r="B4" s="5">
        <v>50</v>
      </c>
      <c r="D4" s="5">
        <v>6.1</v>
      </c>
      <c r="F4">
        <f>(F2-6)/(F3/SQRT(15))</f>
        <v>-5.1198719420203682</v>
      </c>
    </row>
    <row r="5" spans="1:6" ht="28.5" thickBot="1">
      <c r="A5" s="5" t="s">
        <v>36</v>
      </c>
      <c r="B5" s="5">
        <v>2.35</v>
      </c>
      <c r="D5" s="5">
        <v>5.5</v>
      </c>
      <c r="F5">
        <v>14</v>
      </c>
    </row>
    <row r="6" spans="1:6" ht="15" thickBot="1">
      <c r="D6" s="5">
        <v>4</v>
      </c>
      <c r="F6">
        <f>_xlfn.T.DIST(F4, 14, TRUE)</f>
        <v>7.7943930437977338E-5</v>
      </c>
    </row>
    <row r="7" spans="1:6" ht="15" thickBot="1">
      <c r="A7" t="s">
        <v>37</v>
      </c>
      <c r="B7">
        <f>(B5 - B2) / (B3 / SQRT(B4))</f>
        <v>-2.6516504294495515</v>
      </c>
      <c r="D7" s="5">
        <v>3.5</v>
      </c>
    </row>
    <row r="8" spans="1:6" ht="15" thickBot="1">
      <c r="A8" t="s">
        <v>38</v>
      </c>
      <c r="B8">
        <f>_xlfn.NORM.S.DIST(B7, TRUE)</f>
        <v>4.0049711649400325E-3</v>
      </c>
      <c r="D8" s="5">
        <v>5.8</v>
      </c>
    </row>
    <row r="9" spans="1:6" ht="15" thickBot="1">
      <c r="D9" s="5">
        <v>4.2</v>
      </c>
    </row>
    <row r="10" spans="1:6" ht="15" thickBot="1">
      <c r="D10" s="5">
        <v>5</v>
      </c>
    </row>
    <row r="11" spans="1:6" ht="15" thickBot="1">
      <c r="D11" s="5">
        <v>4.5</v>
      </c>
    </row>
    <row r="12" spans="1:6" ht="15" thickBot="1">
      <c r="D12" s="5">
        <v>6.2</v>
      </c>
    </row>
    <row r="13" spans="1:6" ht="15" thickBot="1">
      <c r="D13" s="5">
        <v>5.0999999999999996</v>
      </c>
    </row>
    <row r="14" spans="1:6" ht="15" thickBot="1">
      <c r="D14" s="5">
        <v>4.9000000000000004</v>
      </c>
    </row>
    <row r="15" spans="1:6" ht="15" thickBot="1">
      <c r="D15" s="5">
        <v>3.8</v>
      </c>
    </row>
    <row r="16" spans="1:6" ht="15" thickBot="1">
      <c r="D16" s="5">
        <v>5.3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zoomScale="70" zoomScaleNormal="70" workbookViewId="0">
      <selection activeCell="O6" sqref="O6"/>
    </sheetView>
  </sheetViews>
  <sheetFormatPr defaultRowHeight="14.5"/>
  <sheetData>
    <row r="1" spans="1:2">
      <c r="A1" t="s">
        <v>19</v>
      </c>
      <c r="B1">
        <v>50</v>
      </c>
    </row>
    <row r="2" spans="1:2">
      <c r="A2" t="s">
        <v>29</v>
      </c>
      <c r="B2">
        <v>5</v>
      </c>
    </row>
    <row r="4" spans="1:2" ht="29">
      <c r="A4" s="7" t="s">
        <v>30</v>
      </c>
      <c r="B4" s="7" t="s">
        <v>31</v>
      </c>
    </row>
    <row r="5" spans="1:2">
      <c r="A5">
        <v>30</v>
      </c>
      <c r="B5">
        <f>_xlfn.NORM.DIST(A5, $B$1, $B$2, FALSE)</f>
        <v>2.6766045152977071E-5</v>
      </c>
    </row>
    <row r="6" spans="1:2">
      <c r="A6">
        <v>32</v>
      </c>
      <c r="B6">
        <f t="shared" ref="B6:B25" si="0">_xlfn.NORM.DIST(A6, $B$1, $B$2, FALSE)</f>
        <v>1.2238038602275437E-4</v>
      </c>
    </row>
    <row r="7" spans="1:2">
      <c r="A7">
        <v>34</v>
      </c>
      <c r="B7">
        <f t="shared" si="0"/>
        <v>4.768176402929681E-4</v>
      </c>
    </row>
    <row r="8" spans="1:2">
      <c r="A8">
        <v>36</v>
      </c>
      <c r="B8">
        <f t="shared" si="0"/>
        <v>1.5830903165959939E-3</v>
      </c>
    </row>
    <row r="9" spans="1:2">
      <c r="A9">
        <v>38</v>
      </c>
      <c r="B9">
        <f t="shared" si="0"/>
        <v>4.4789060589685804E-3</v>
      </c>
    </row>
    <row r="10" spans="1:2">
      <c r="A10">
        <v>40</v>
      </c>
      <c r="B10">
        <f t="shared" si="0"/>
        <v>1.0798193302637612E-2</v>
      </c>
    </row>
    <row r="11" spans="1:2">
      <c r="A11">
        <v>42</v>
      </c>
      <c r="B11">
        <f t="shared" si="0"/>
        <v>2.2184166935891109E-2</v>
      </c>
    </row>
    <row r="12" spans="1:2">
      <c r="A12">
        <v>44</v>
      </c>
      <c r="B12">
        <f t="shared" si="0"/>
        <v>3.8837210996642592E-2</v>
      </c>
    </row>
    <row r="13" spans="1:2">
      <c r="A13">
        <v>46</v>
      </c>
      <c r="B13">
        <f t="shared" si="0"/>
        <v>5.7938310552296549E-2</v>
      </c>
    </row>
    <row r="14" spans="1:2">
      <c r="A14">
        <v>48</v>
      </c>
      <c r="B14">
        <f t="shared" si="0"/>
        <v>7.3654028060664664E-2</v>
      </c>
    </row>
    <row r="15" spans="1:2">
      <c r="A15">
        <v>50</v>
      </c>
      <c r="B15">
        <f t="shared" si="0"/>
        <v>7.9788456080286549E-2</v>
      </c>
    </row>
    <row r="16" spans="1:2">
      <c r="A16">
        <v>52</v>
      </c>
      <c r="B16">
        <f t="shared" si="0"/>
        <v>7.3654028060664664E-2</v>
      </c>
    </row>
    <row r="17" spans="1:2">
      <c r="A17">
        <v>54</v>
      </c>
      <c r="B17">
        <f t="shared" si="0"/>
        <v>5.7938310552296549E-2</v>
      </c>
    </row>
    <row r="18" spans="1:2">
      <c r="A18">
        <v>56</v>
      </c>
      <c r="B18">
        <f t="shared" si="0"/>
        <v>3.8837210996642592E-2</v>
      </c>
    </row>
    <row r="19" spans="1:2">
      <c r="A19">
        <v>58</v>
      </c>
      <c r="B19">
        <f t="shared" si="0"/>
        <v>2.2184166935891109E-2</v>
      </c>
    </row>
    <row r="20" spans="1:2">
      <c r="A20">
        <v>60</v>
      </c>
      <c r="B20">
        <f t="shared" si="0"/>
        <v>1.0798193302637612E-2</v>
      </c>
    </row>
    <row r="21" spans="1:2">
      <c r="A21">
        <v>62</v>
      </c>
      <c r="B21">
        <f t="shared" si="0"/>
        <v>4.4789060589685804E-3</v>
      </c>
    </row>
    <row r="22" spans="1:2">
      <c r="A22">
        <v>64</v>
      </c>
      <c r="B22">
        <f t="shared" si="0"/>
        <v>1.5830903165959939E-3</v>
      </c>
    </row>
    <row r="23" spans="1:2">
      <c r="A23">
        <v>66</v>
      </c>
      <c r="B23">
        <f t="shared" si="0"/>
        <v>4.768176402929681E-4</v>
      </c>
    </row>
    <row r="24" spans="1:2">
      <c r="A24">
        <v>68</v>
      </c>
      <c r="B24">
        <f t="shared" si="0"/>
        <v>1.2238038602275437E-4</v>
      </c>
    </row>
    <row r="25" spans="1:2">
      <c r="A25">
        <v>70</v>
      </c>
      <c r="B25">
        <f t="shared" si="0"/>
        <v>2.6766045152977071E-5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zoomScale="85" zoomScaleNormal="85" workbookViewId="0">
      <selection activeCell="F10" sqref="F10"/>
    </sheetView>
  </sheetViews>
  <sheetFormatPr defaultRowHeight="14.5"/>
  <sheetData>
    <row r="1" spans="1:6" ht="56.5" thickBot="1">
      <c r="A1" s="4" t="s">
        <v>2</v>
      </c>
      <c r="B1" s="4" t="s">
        <v>3</v>
      </c>
      <c r="C1" s="4" t="s">
        <v>4</v>
      </c>
      <c r="D1" s="4"/>
      <c r="E1" s="4" t="s">
        <v>14</v>
      </c>
      <c r="F1" s="4" t="s">
        <v>15</v>
      </c>
    </row>
    <row r="2" spans="1:6" ht="28.5" thickBot="1">
      <c r="A2" s="5">
        <v>500</v>
      </c>
      <c r="B2" s="5">
        <v>800</v>
      </c>
      <c r="C2" s="5">
        <v>300</v>
      </c>
      <c r="D2" s="4"/>
      <c r="E2" s="4" t="s">
        <v>5</v>
      </c>
      <c r="F2" s="6">
        <f>AVERAGE(A2:A11)</f>
        <v>695</v>
      </c>
    </row>
    <row r="3" spans="1:6" ht="28.5" thickBot="1">
      <c r="A3" s="5">
        <v>450</v>
      </c>
      <c r="B3" s="5">
        <v>750</v>
      </c>
      <c r="C3" s="5">
        <v>300</v>
      </c>
      <c r="D3" s="4"/>
      <c r="E3" s="4" t="s">
        <v>6</v>
      </c>
      <c r="F3" s="6">
        <f>MEDIAN(A2:A11)</f>
        <v>550</v>
      </c>
    </row>
    <row r="4" spans="1:6" ht="28.5" thickBot="1">
      <c r="A4" s="5">
        <v>1200</v>
      </c>
      <c r="B4" s="5">
        <v>2000</v>
      </c>
      <c r="C4" s="5">
        <v>800</v>
      </c>
      <c r="D4" s="4"/>
      <c r="E4" s="4" t="s">
        <v>7</v>
      </c>
      <c r="F4" s="6">
        <f>_xlfn.MODE.SNGL(A2:A11)</f>
        <v>450</v>
      </c>
    </row>
    <row r="5" spans="1:6" ht="28.5" thickBot="1">
      <c r="A5" s="5">
        <v>600</v>
      </c>
      <c r="B5" s="5">
        <v>1000</v>
      </c>
      <c r="C5" s="5">
        <v>400</v>
      </c>
      <c r="D5" s="4"/>
      <c r="E5" s="4" t="s">
        <v>8</v>
      </c>
      <c r="F5" s="6">
        <f>_xlfn.STDEV.S(A2:A11)</f>
        <v>292.92585334100431</v>
      </c>
    </row>
    <row r="6" spans="1:6" ht="28.5" thickBot="1">
      <c r="A6" s="5">
        <v>450</v>
      </c>
      <c r="B6" s="5">
        <v>750</v>
      </c>
      <c r="C6" s="5">
        <v>300</v>
      </c>
      <c r="D6" s="4"/>
      <c r="E6" s="4" t="s">
        <v>9</v>
      </c>
      <c r="F6" s="6">
        <f>AVERAGE(B2:B11)</f>
        <v>1180</v>
      </c>
    </row>
    <row r="7" spans="1:6" ht="28.5" thickBot="1">
      <c r="A7" s="5">
        <v>850</v>
      </c>
      <c r="B7" s="5">
        <v>1500</v>
      </c>
      <c r="C7" s="5">
        <v>650</v>
      </c>
      <c r="D7" s="4"/>
      <c r="E7" s="4" t="s">
        <v>10</v>
      </c>
      <c r="F7" s="6">
        <f>MEDIAN(B2:B11)</f>
        <v>900</v>
      </c>
    </row>
    <row r="8" spans="1:6" ht="28.5" thickBot="1">
      <c r="A8" s="5">
        <v>450</v>
      </c>
      <c r="B8" s="5">
        <v>750</v>
      </c>
      <c r="C8" s="5">
        <v>300</v>
      </c>
      <c r="D8" s="4"/>
      <c r="E8" s="4" t="s">
        <v>11</v>
      </c>
      <c r="F8" s="6">
        <f>_xlfn.MODE.SNGL(B2:B11)</f>
        <v>750</v>
      </c>
    </row>
    <row r="9" spans="1:6" ht="28.5" thickBot="1">
      <c r="A9" s="5">
        <v>900</v>
      </c>
      <c r="B9" s="5">
        <v>1600</v>
      </c>
      <c r="C9" s="5">
        <v>700</v>
      </c>
      <c r="D9" s="4"/>
      <c r="E9" s="4" t="s">
        <v>12</v>
      </c>
      <c r="F9" s="6">
        <f>AVERAGE(C2:C11)</f>
        <v>485</v>
      </c>
    </row>
    <row r="10" spans="1:6" ht="28.5" thickBot="1">
      <c r="A10" s="5">
        <v>1100</v>
      </c>
      <c r="B10" s="5">
        <v>1900</v>
      </c>
      <c r="C10" s="5">
        <v>800</v>
      </c>
      <c r="D10" s="4"/>
      <c r="E10" s="4" t="s">
        <v>13</v>
      </c>
      <c r="F10" s="6">
        <f>_xlfn.STDEV.S(C2:C11)</f>
        <v>223.668902124944</v>
      </c>
    </row>
    <row r="11" spans="1:6" ht="28.5" thickBot="1">
      <c r="A11" s="5">
        <v>450</v>
      </c>
      <c r="B11" s="5">
        <v>750</v>
      </c>
      <c r="C11" s="5">
        <v>300</v>
      </c>
      <c r="E11" s="4" t="s">
        <v>16</v>
      </c>
      <c r="F11" s="6">
        <f>(F5/F2)*100</f>
        <v>42.147604797266808</v>
      </c>
    </row>
    <row r="12" spans="1:6" ht="42.5" thickBot="1">
      <c r="E12" s="4" t="s">
        <v>17</v>
      </c>
      <c r="F12" s="6">
        <f>(F10/F9)*100</f>
        <v>46.117299407204946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zoomScaleNormal="100" workbookViewId="0">
      <selection activeCell="F6" sqref="F6"/>
    </sheetView>
  </sheetViews>
  <sheetFormatPr defaultRowHeight="14.5"/>
  <sheetData>
    <row r="1" spans="1:3" ht="42.5" thickBot="1">
      <c r="A1" s="4" t="s">
        <v>18</v>
      </c>
      <c r="B1" s="4"/>
      <c r="C1" s="4"/>
    </row>
    <row r="2" spans="1:3" ht="15" thickBot="1">
      <c r="A2" s="5" t="s">
        <v>19</v>
      </c>
      <c r="B2" s="5">
        <v>120</v>
      </c>
      <c r="C2" s="5"/>
    </row>
    <row r="3" spans="1:3" ht="42.5" thickBot="1">
      <c r="A3" s="5" t="s">
        <v>20</v>
      </c>
      <c r="B3" s="5">
        <v>15</v>
      </c>
      <c r="C3" s="5"/>
    </row>
    <row r="4" spans="1:3" ht="15" thickBot="1">
      <c r="A4" s="5"/>
      <c r="B4" s="5"/>
      <c r="C4" s="6"/>
    </row>
    <row r="5" spans="1:3" ht="28.5" thickBot="1">
      <c r="A5" s="5" t="s">
        <v>21</v>
      </c>
      <c r="B5" s="6">
        <f>_xlfn.NORM.DIST(100, B2, B3, TRUE)</f>
        <v>9.1211219725867876E-2</v>
      </c>
      <c r="C5" s="6"/>
    </row>
    <row r="6" spans="1:3" ht="42.5" thickBot="1">
      <c r="A6" s="5" t="s">
        <v>22</v>
      </c>
      <c r="B6" s="6">
        <f>_xlfn.NORM.DIST(130, B2, B3, TRUE) - _xlfn.NORM.DIST(110, B2, B3, TRUE)</f>
        <v>0.49501492490615417</v>
      </c>
      <c r="C6" s="6"/>
    </row>
    <row r="7" spans="1:3" ht="42.5" thickBot="1">
      <c r="A7" s="5" t="s">
        <v>23</v>
      </c>
      <c r="B7" s="6">
        <f>_xlfn.NORM.INV(0.9, B2, B3)</f>
        <v>139.22327348316901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07"/>
  <sheetViews>
    <sheetView topLeftCell="A79" zoomScale="55" zoomScaleNormal="55" workbookViewId="0">
      <selection activeCell="Q98" sqref="Q98"/>
    </sheetView>
  </sheetViews>
  <sheetFormatPr defaultRowHeight="14.5"/>
  <cols>
    <col min="1" max="1" width="8.7265625" style="7"/>
  </cols>
  <sheetData>
    <row r="1" spans="1:2" ht="42.5" thickBot="1">
      <c r="A1" s="4" t="s">
        <v>18</v>
      </c>
      <c r="B1" s="4"/>
    </row>
    <row r="2" spans="1:2" ht="15" thickBot="1">
      <c r="A2" s="4" t="s">
        <v>19</v>
      </c>
      <c r="B2" s="5">
        <v>75</v>
      </c>
    </row>
    <row r="3" spans="1:2" ht="56.5" thickBot="1">
      <c r="A3" s="4" t="s">
        <v>20</v>
      </c>
      <c r="B3" s="5">
        <v>10</v>
      </c>
    </row>
    <row r="4" spans="1:2" ht="42.5" thickBot="1">
      <c r="A4" s="4" t="s">
        <v>24</v>
      </c>
      <c r="B4" s="5">
        <v>100</v>
      </c>
    </row>
    <row r="5" spans="1:2" ht="56.5" thickBot="1">
      <c r="A5" s="4" t="s">
        <v>25</v>
      </c>
      <c r="B5" s="6">
        <f>E11</f>
        <v>0</v>
      </c>
    </row>
    <row r="6" spans="1:2" ht="28.5" thickBot="1">
      <c r="A6" s="4" t="s">
        <v>26</v>
      </c>
      <c r="B6" s="4" t="s">
        <v>27</v>
      </c>
    </row>
    <row r="7" spans="1:2" ht="15" thickBot="1">
      <c r="A7" s="5">
        <v>1</v>
      </c>
      <c r="B7" s="5">
        <v>79.97</v>
      </c>
    </row>
    <row r="8" spans="1:2" ht="15" thickBot="1">
      <c r="A8" s="5">
        <v>2</v>
      </c>
      <c r="B8" s="5">
        <v>73.62</v>
      </c>
    </row>
    <row r="9" spans="1:2" ht="15" thickBot="1">
      <c r="A9" s="5">
        <v>3</v>
      </c>
      <c r="B9" s="5">
        <v>81.48</v>
      </c>
    </row>
    <row r="10" spans="1:2" ht="15" thickBot="1">
      <c r="A10" s="5">
        <v>4</v>
      </c>
      <c r="B10" s="5">
        <v>90.23</v>
      </c>
    </row>
    <row r="11" spans="1:2" ht="15" thickBot="1">
      <c r="A11" s="5">
        <v>5</v>
      </c>
      <c r="B11" s="5">
        <v>72.66</v>
      </c>
    </row>
    <row r="12" spans="1:2" ht="15" thickBot="1">
      <c r="A12" s="5">
        <v>6</v>
      </c>
      <c r="B12" s="5">
        <v>70.319999999999993</v>
      </c>
    </row>
    <row r="13" spans="1:2" ht="15" thickBot="1">
      <c r="A13" s="5">
        <v>7</v>
      </c>
      <c r="B13" s="5">
        <v>82.55</v>
      </c>
    </row>
    <row r="14" spans="1:2" ht="15" thickBot="1">
      <c r="A14" s="5">
        <v>8</v>
      </c>
      <c r="B14" s="5">
        <v>74.31</v>
      </c>
    </row>
    <row r="15" spans="1:2" ht="15" thickBot="1">
      <c r="A15" s="5">
        <v>9</v>
      </c>
      <c r="B15" s="5">
        <v>68.989999999999995</v>
      </c>
    </row>
    <row r="16" spans="1:2" ht="15" thickBot="1">
      <c r="A16" s="5">
        <v>10</v>
      </c>
      <c r="B16" s="5">
        <v>85.12</v>
      </c>
    </row>
    <row r="17" spans="1:8" ht="15" thickBot="1">
      <c r="A17" s="5">
        <v>11</v>
      </c>
      <c r="B17" s="5">
        <v>75.05</v>
      </c>
    </row>
    <row r="18" spans="1:8" ht="15" thickBot="1">
      <c r="A18" s="5">
        <v>12</v>
      </c>
      <c r="B18" s="5">
        <v>77.209999999999994</v>
      </c>
    </row>
    <row r="19" spans="1:8" ht="15" thickBot="1">
      <c r="A19" s="5">
        <v>13</v>
      </c>
      <c r="B19" s="5">
        <v>62.45</v>
      </c>
    </row>
    <row r="20" spans="1:8" ht="15" thickBot="1">
      <c r="A20" s="5">
        <v>14</v>
      </c>
      <c r="B20" s="5">
        <v>88.34</v>
      </c>
      <c r="G20" s="7"/>
    </row>
    <row r="21" spans="1:8" ht="15" thickBot="1">
      <c r="A21" s="5">
        <v>15</v>
      </c>
      <c r="B21" s="5">
        <v>74.900000000000006</v>
      </c>
    </row>
    <row r="22" spans="1:8" ht="15" thickBot="1">
      <c r="A22" s="5">
        <v>16</v>
      </c>
      <c r="B22" s="5">
        <v>71.099999999999994</v>
      </c>
    </row>
    <row r="23" spans="1:8" ht="15" thickBot="1">
      <c r="A23" s="5">
        <v>17</v>
      </c>
      <c r="B23" s="5">
        <v>80.05</v>
      </c>
    </row>
    <row r="24" spans="1:8" ht="15" thickBot="1">
      <c r="A24" s="5">
        <v>18</v>
      </c>
      <c r="B24" s="5">
        <v>76.44</v>
      </c>
    </row>
    <row r="25" spans="1:8" ht="15" thickBot="1">
      <c r="A25" s="5">
        <v>19</v>
      </c>
      <c r="B25" s="5">
        <v>65.88</v>
      </c>
    </row>
    <row r="26" spans="1:8" ht="15" thickBot="1">
      <c r="A26" s="5">
        <v>20</v>
      </c>
      <c r="B26" s="5">
        <v>79.12</v>
      </c>
    </row>
    <row r="27" spans="1:8" ht="15" thickBot="1">
      <c r="A27" s="4">
        <v>21</v>
      </c>
      <c r="B27" s="5">
        <v>71.45</v>
      </c>
      <c r="C27" s="4"/>
      <c r="D27" s="5"/>
      <c r="E27" s="4"/>
      <c r="F27" s="5"/>
      <c r="G27" s="4"/>
      <c r="H27" s="5"/>
    </row>
    <row r="28" spans="1:8" ht="15" thickBot="1">
      <c r="A28" s="4">
        <v>22</v>
      </c>
      <c r="B28" s="5">
        <v>82.1</v>
      </c>
      <c r="C28" s="4"/>
      <c r="D28" s="5"/>
      <c r="E28" s="4"/>
      <c r="F28" s="5"/>
      <c r="G28" s="4"/>
      <c r="H28" s="5"/>
    </row>
    <row r="29" spans="1:8" ht="15" thickBot="1">
      <c r="A29" s="4">
        <v>23</v>
      </c>
      <c r="B29" s="5">
        <v>75.34</v>
      </c>
      <c r="C29" s="4"/>
      <c r="D29" s="5"/>
      <c r="E29" s="4"/>
      <c r="F29" s="5"/>
      <c r="G29" s="4"/>
      <c r="H29" s="5"/>
    </row>
    <row r="30" spans="1:8" ht="15" thickBot="1">
      <c r="A30" s="4">
        <v>24</v>
      </c>
      <c r="B30" s="5">
        <v>69.12</v>
      </c>
      <c r="C30" s="4"/>
      <c r="D30" s="5"/>
      <c r="E30" s="4"/>
      <c r="F30" s="5"/>
      <c r="G30" s="4"/>
      <c r="H30" s="5"/>
    </row>
    <row r="31" spans="1:8" ht="15" thickBot="1">
      <c r="A31" s="4">
        <v>25</v>
      </c>
      <c r="B31" s="5">
        <v>77.89</v>
      </c>
      <c r="C31" s="4"/>
      <c r="D31" s="5"/>
      <c r="E31" s="4"/>
      <c r="F31" s="5"/>
      <c r="G31" s="4"/>
      <c r="H31" s="5"/>
    </row>
    <row r="32" spans="1:8" ht="15" thickBot="1">
      <c r="A32" s="4">
        <v>26</v>
      </c>
      <c r="B32" s="5">
        <v>88.01</v>
      </c>
      <c r="C32" s="4"/>
      <c r="D32" s="5"/>
      <c r="E32" s="4"/>
      <c r="F32" s="5"/>
      <c r="G32" s="4"/>
      <c r="H32" s="5"/>
    </row>
    <row r="33" spans="1:8" ht="15" thickBot="1">
      <c r="A33" s="4">
        <v>27</v>
      </c>
      <c r="B33" s="5">
        <v>74.23</v>
      </c>
      <c r="C33" s="4"/>
      <c r="D33" s="5"/>
      <c r="E33" s="4"/>
      <c r="F33" s="5"/>
      <c r="G33" s="4"/>
      <c r="H33" s="5"/>
    </row>
    <row r="34" spans="1:8" ht="15" thickBot="1">
      <c r="A34" s="4">
        <v>28</v>
      </c>
      <c r="B34" s="5">
        <v>70.56</v>
      </c>
      <c r="C34" s="4"/>
      <c r="D34" s="5"/>
      <c r="E34" s="4"/>
      <c r="F34" s="5"/>
      <c r="G34" s="4"/>
      <c r="H34" s="5"/>
    </row>
    <row r="35" spans="1:8" ht="15" thickBot="1">
      <c r="A35" s="4">
        <v>29</v>
      </c>
      <c r="B35" s="5">
        <v>83.45</v>
      </c>
      <c r="C35" s="4"/>
      <c r="D35" s="5"/>
      <c r="E35" s="4"/>
      <c r="F35" s="5"/>
      <c r="G35" s="4"/>
      <c r="H35" s="5"/>
    </row>
    <row r="36" spans="1:8" ht="15" thickBot="1">
      <c r="A36" s="4">
        <v>30</v>
      </c>
      <c r="B36" s="5">
        <v>76.12</v>
      </c>
      <c r="C36" s="4"/>
      <c r="D36" s="5"/>
      <c r="E36" s="4"/>
      <c r="F36" s="5"/>
      <c r="G36" s="4"/>
      <c r="H36" s="5"/>
    </row>
    <row r="37" spans="1:8" ht="15" thickBot="1">
      <c r="A37" s="4">
        <v>31</v>
      </c>
      <c r="B37" s="5">
        <v>65.34</v>
      </c>
      <c r="C37" s="4"/>
      <c r="D37" s="5"/>
      <c r="E37" s="4"/>
      <c r="F37" s="5"/>
      <c r="G37" s="4"/>
      <c r="H37" s="5"/>
    </row>
    <row r="38" spans="1:8" ht="15" thickBot="1">
      <c r="A38" s="4">
        <v>32</v>
      </c>
      <c r="B38" s="5">
        <v>78.22</v>
      </c>
      <c r="C38" s="4"/>
      <c r="D38" s="5"/>
      <c r="E38" s="4"/>
      <c r="F38" s="5"/>
      <c r="G38" s="4"/>
      <c r="H38" s="5"/>
    </row>
    <row r="39" spans="1:8" ht="15" thickBot="1">
      <c r="A39" s="4">
        <v>33</v>
      </c>
      <c r="B39" s="5">
        <v>72.900000000000006</v>
      </c>
      <c r="C39" s="4"/>
      <c r="D39" s="5"/>
      <c r="E39" s="4"/>
      <c r="F39" s="5"/>
      <c r="G39" s="4"/>
      <c r="H39" s="5"/>
    </row>
    <row r="40" spans="1:8" ht="15" thickBot="1">
      <c r="A40" s="4">
        <v>34</v>
      </c>
      <c r="B40" s="5">
        <v>80.55</v>
      </c>
      <c r="C40" s="4"/>
      <c r="D40" s="5"/>
      <c r="E40" s="4"/>
      <c r="F40" s="5"/>
      <c r="G40" s="4"/>
      <c r="H40" s="5"/>
    </row>
    <row r="41" spans="1:8" ht="15" thickBot="1">
      <c r="A41" s="4">
        <v>35</v>
      </c>
      <c r="B41" s="5">
        <v>84.11</v>
      </c>
      <c r="C41" s="4"/>
      <c r="D41" s="5"/>
      <c r="E41" s="4"/>
      <c r="F41" s="5"/>
      <c r="G41" s="4"/>
      <c r="H41" s="5"/>
    </row>
    <row r="42" spans="1:8" ht="15" thickBot="1">
      <c r="A42" s="4">
        <v>36</v>
      </c>
      <c r="B42" s="5">
        <v>71.05</v>
      </c>
      <c r="C42" s="4"/>
      <c r="D42" s="5"/>
      <c r="E42" s="4"/>
      <c r="F42" s="5"/>
      <c r="G42" s="4"/>
      <c r="H42" s="5"/>
    </row>
    <row r="43" spans="1:8" ht="15" thickBot="1">
      <c r="A43" s="4">
        <v>37</v>
      </c>
      <c r="B43" s="5">
        <v>75.989999999999995</v>
      </c>
      <c r="C43" s="4"/>
      <c r="D43" s="5"/>
      <c r="E43" s="4"/>
      <c r="F43" s="5"/>
      <c r="G43" s="4"/>
      <c r="H43" s="5"/>
    </row>
    <row r="44" spans="1:8" ht="15" thickBot="1">
      <c r="A44" s="4">
        <v>38</v>
      </c>
      <c r="B44" s="5">
        <v>63.88</v>
      </c>
      <c r="C44" s="4"/>
      <c r="D44" s="5"/>
      <c r="E44" s="4"/>
      <c r="F44" s="5"/>
      <c r="G44" s="4"/>
      <c r="H44" s="5"/>
    </row>
    <row r="45" spans="1:8" ht="15" thickBot="1">
      <c r="A45" s="4">
        <v>39</v>
      </c>
      <c r="B45" s="5">
        <v>77.44</v>
      </c>
      <c r="C45" s="4"/>
      <c r="D45" s="5"/>
      <c r="E45" s="4"/>
      <c r="F45" s="5"/>
      <c r="G45" s="4"/>
      <c r="H45" s="5"/>
    </row>
    <row r="46" spans="1:8" ht="15" thickBot="1">
      <c r="A46" s="4">
        <v>40</v>
      </c>
      <c r="B46" s="5">
        <v>81.22</v>
      </c>
      <c r="C46" s="4"/>
      <c r="D46" s="5"/>
      <c r="E46" s="4"/>
      <c r="F46" s="5"/>
      <c r="G46" s="4"/>
      <c r="H46" s="5"/>
    </row>
    <row r="47" spans="1:8" ht="15" thickBot="1">
      <c r="A47" s="4">
        <v>41</v>
      </c>
      <c r="B47" s="5">
        <v>68.319999999999993</v>
      </c>
    </row>
    <row r="48" spans="1:8" ht="15" thickBot="1">
      <c r="A48" s="4">
        <v>42</v>
      </c>
      <c r="B48" s="5">
        <v>79.11</v>
      </c>
    </row>
    <row r="49" spans="1:53" ht="15" thickBot="1">
      <c r="A49" s="4">
        <v>43</v>
      </c>
      <c r="B49" s="5">
        <v>86.45</v>
      </c>
    </row>
    <row r="50" spans="1:53" ht="15" thickBot="1">
      <c r="A50" s="4">
        <v>44</v>
      </c>
      <c r="B50" s="5">
        <v>73.2</v>
      </c>
    </row>
    <row r="51" spans="1:53" ht="15" thickBot="1">
      <c r="A51" s="4">
        <v>45</v>
      </c>
      <c r="B51" s="5">
        <v>60.12</v>
      </c>
    </row>
    <row r="52" spans="1:53" ht="15" thickBot="1">
      <c r="A52" s="4">
        <v>46</v>
      </c>
      <c r="B52" s="5">
        <v>75.55</v>
      </c>
    </row>
    <row r="53" spans="1:53" ht="15" thickBot="1">
      <c r="A53" s="4">
        <v>47</v>
      </c>
      <c r="B53" s="5">
        <v>81.33</v>
      </c>
    </row>
    <row r="54" spans="1:53" ht="15" thickBot="1">
      <c r="A54" s="4">
        <v>48</v>
      </c>
      <c r="B54" s="5">
        <v>72.010000000000005</v>
      </c>
    </row>
    <row r="55" spans="1:53" ht="15" thickBot="1">
      <c r="A55" s="4">
        <v>49</v>
      </c>
      <c r="B55" s="5">
        <v>67.88</v>
      </c>
    </row>
    <row r="56" spans="1:53" ht="15" thickBot="1">
      <c r="A56" s="4">
        <v>50</v>
      </c>
      <c r="B56" s="5">
        <v>79.900000000000006</v>
      </c>
      <c r="BA56" t="s">
        <v>28</v>
      </c>
    </row>
    <row r="57" spans="1:53" ht="15" thickBot="1">
      <c r="A57" s="4">
        <v>51</v>
      </c>
      <c r="B57" s="5">
        <v>74.44</v>
      </c>
    </row>
    <row r="58" spans="1:53" ht="15" thickBot="1">
      <c r="A58" s="4">
        <v>52</v>
      </c>
      <c r="B58" s="5">
        <v>82.11</v>
      </c>
    </row>
    <row r="59" spans="1:53" ht="15" thickBot="1">
      <c r="A59" s="4">
        <v>53</v>
      </c>
      <c r="B59" s="5">
        <v>70.55</v>
      </c>
    </row>
    <row r="60" spans="1:53" ht="15" thickBot="1">
      <c r="A60" s="4">
        <v>54</v>
      </c>
      <c r="B60" s="5">
        <v>66.88</v>
      </c>
    </row>
    <row r="61" spans="1:53" ht="15" thickBot="1">
      <c r="A61" s="4">
        <v>55</v>
      </c>
      <c r="B61" s="5">
        <v>73.33</v>
      </c>
    </row>
    <row r="62" spans="1:53" ht="15" thickBot="1">
      <c r="A62" s="4">
        <v>56</v>
      </c>
      <c r="B62" s="5">
        <v>78.44</v>
      </c>
    </row>
    <row r="63" spans="1:53" ht="15" thickBot="1">
      <c r="A63" s="4">
        <v>57</v>
      </c>
      <c r="B63" s="5">
        <v>85.02</v>
      </c>
    </row>
    <row r="64" spans="1:53" ht="15" thickBot="1">
      <c r="A64" s="4">
        <v>58</v>
      </c>
      <c r="B64" s="5">
        <v>69.11</v>
      </c>
    </row>
    <row r="65" spans="1:2" ht="15" thickBot="1">
      <c r="A65" s="4">
        <v>59</v>
      </c>
      <c r="B65" s="5">
        <v>72.55</v>
      </c>
    </row>
    <row r="66" spans="1:2" ht="15" thickBot="1">
      <c r="A66" s="4">
        <v>60</v>
      </c>
      <c r="B66" s="5">
        <v>76.989999999999995</v>
      </c>
    </row>
    <row r="67" spans="1:2" ht="15" thickBot="1">
      <c r="A67" s="4">
        <v>61</v>
      </c>
      <c r="B67" s="5">
        <v>74.88</v>
      </c>
    </row>
    <row r="68" spans="1:2" ht="15" thickBot="1">
      <c r="A68" s="4">
        <v>62</v>
      </c>
      <c r="B68" s="5">
        <v>65.430000000000007</v>
      </c>
    </row>
    <row r="69" spans="1:2" ht="15" thickBot="1">
      <c r="A69" s="4">
        <v>63</v>
      </c>
      <c r="B69" s="5">
        <v>77.02</v>
      </c>
    </row>
    <row r="70" spans="1:2" ht="15" thickBot="1">
      <c r="A70" s="4">
        <v>64</v>
      </c>
      <c r="B70" s="5">
        <v>81.19</v>
      </c>
    </row>
    <row r="71" spans="1:2" ht="15" thickBot="1">
      <c r="A71" s="4">
        <v>65</v>
      </c>
      <c r="B71" s="5">
        <v>70.33</v>
      </c>
    </row>
    <row r="72" spans="1:2" ht="15" thickBot="1">
      <c r="A72" s="4">
        <v>66</v>
      </c>
      <c r="B72" s="5">
        <v>72.88</v>
      </c>
    </row>
    <row r="73" spans="1:2" ht="15" thickBot="1">
      <c r="A73" s="4">
        <v>67</v>
      </c>
      <c r="B73" s="5">
        <v>89.44</v>
      </c>
    </row>
    <row r="74" spans="1:2" ht="15" thickBot="1">
      <c r="A74" s="4">
        <v>68</v>
      </c>
      <c r="B74" s="5">
        <v>76.55</v>
      </c>
    </row>
    <row r="75" spans="1:2" ht="15" thickBot="1">
      <c r="A75" s="4">
        <v>69</v>
      </c>
      <c r="B75" s="5">
        <v>64.12</v>
      </c>
    </row>
    <row r="76" spans="1:2" ht="15" thickBot="1">
      <c r="A76" s="4">
        <v>70</v>
      </c>
      <c r="B76" s="5">
        <v>71.22</v>
      </c>
    </row>
    <row r="77" spans="1:2" ht="15" thickBot="1">
      <c r="A77" s="4">
        <v>71</v>
      </c>
      <c r="B77" s="5">
        <v>83.56</v>
      </c>
    </row>
    <row r="78" spans="1:2" ht="15" thickBot="1">
      <c r="A78" s="4">
        <v>72</v>
      </c>
      <c r="B78" s="5">
        <v>77.900000000000006</v>
      </c>
    </row>
    <row r="79" spans="1:2" ht="15" thickBot="1">
      <c r="A79" s="4">
        <v>73</v>
      </c>
      <c r="B79" s="5">
        <v>69.33</v>
      </c>
    </row>
    <row r="80" spans="1:2" ht="15" thickBot="1">
      <c r="A80" s="4">
        <v>74</v>
      </c>
      <c r="B80" s="5">
        <v>75.11</v>
      </c>
    </row>
    <row r="81" spans="1:2" ht="15" thickBot="1">
      <c r="A81" s="4">
        <v>75</v>
      </c>
      <c r="B81" s="5">
        <v>81.44</v>
      </c>
    </row>
    <row r="82" spans="1:2" ht="15" thickBot="1">
      <c r="A82" s="4">
        <v>76</v>
      </c>
      <c r="B82" s="5">
        <v>72.66</v>
      </c>
    </row>
    <row r="83" spans="1:2" ht="15" thickBot="1">
      <c r="A83" s="4">
        <v>77</v>
      </c>
      <c r="B83" s="5">
        <v>74.010000000000005</v>
      </c>
    </row>
    <row r="84" spans="1:2" ht="15" thickBot="1">
      <c r="A84" s="4">
        <v>78</v>
      </c>
      <c r="B84" s="5">
        <v>67.55</v>
      </c>
    </row>
    <row r="85" spans="1:2" ht="15" thickBot="1">
      <c r="A85" s="4">
        <v>79</v>
      </c>
      <c r="B85" s="5">
        <v>80.33</v>
      </c>
    </row>
    <row r="86" spans="1:2" ht="15" thickBot="1">
      <c r="A86" s="4">
        <v>80</v>
      </c>
      <c r="B86" s="5">
        <v>78.11</v>
      </c>
    </row>
    <row r="87" spans="1:2" ht="15" thickBot="1">
      <c r="A87" s="4">
        <v>81</v>
      </c>
      <c r="B87" s="5">
        <v>76.209999999999994</v>
      </c>
    </row>
    <row r="88" spans="1:2" ht="15" thickBot="1">
      <c r="A88" s="4">
        <v>82</v>
      </c>
      <c r="B88" s="5">
        <v>69.900000000000006</v>
      </c>
    </row>
    <row r="89" spans="1:2" ht="15" thickBot="1">
      <c r="A89" s="4">
        <v>83</v>
      </c>
      <c r="B89" s="5">
        <v>72.150000000000006</v>
      </c>
    </row>
    <row r="90" spans="1:2" ht="15" thickBot="1">
      <c r="A90" s="4">
        <v>84</v>
      </c>
      <c r="B90" s="5">
        <v>84.55</v>
      </c>
    </row>
    <row r="91" spans="1:2" ht="15" thickBot="1">
      <c r="A91" s="4">
        <v>85</v>
      </c>
      <c r="B91" s="5">
        <v>75.67</v>
      </c>
    </row>
    <row r="92" spans="1:2" ht="15" thickBot="1">
      <c r="A92" s="4">
        <v>86</v>
      </c>
      <c r="B92" s="5">
        <v>73.22</v>
      </c>
    </row>
    <row r="93" spans="1:2" ht="15" thickBot="1">
      <c r="A93" s="4">
        <v>87</v>
      </c>
      <c r="B93" s="5">
        <v>61.4</v>
      </c>
    </row>
    <row r="94" spans="1:2" ht="15" thickBot="1">
      <c r="A94" s="4">
        <v>88</v>
      </c>
      <c r="B94" s="5">
        <v>78.33</v>
      </c>
    </row>
    <row r="95" spans="1:2" ht="15" thickBot="1">
      <c r="A95" s="4">
        <v>89</v>
      </c>
      <c r="B95" s="5">
        <v>80.05</v>
      </c>
    </row>
    <row r="96" spans="1:2" ht="15" thickBot="1">
      <c r="A96" s="4">
        <v>90</v>
      </c>
      <c r="B96" s="5">
        <v>75.44</v>
      </c>
    </row>
    <row r="97" spans="1:2" ht="15" thickBot="1">
      <c r="A97" s="4">
        <v>91</v>
      </c>
      <c r="B97" s="5">
        <v>68.77</v>
      </c>
    </row>
    <row r="98" spans="1:2" ht="15" thickBot="1">
      <c r="A98" s="4">
        <v>92</v>
      </c>
      <c r="B98" s="5">
        <v>74.209999999999994</v>
      </c>
    </row>
    <row r="99" spans="1:2" ht="15" thickBot="1">
      <c r="A99" s="4">
        <v>93</v>
      </c>
      <c r="B99" s="5">
        <v>86.1</v>
      </c>
    </row>
    <row r="100" spans="1:2" ht="15" thickBot="1">
      <c r="A100" s="4">
        <v>94</v>
      </c>
      <c r="B100" s="5">
        <v>79.33</v>
      </c>
    </row>
    <row r="101" spans="1:2" ht="15" thickBot="1">
      <c r="A101" s="4">
        <v>95</v>
      </c>
      <c r="B101" s="5">
        <v>70.02</v>
      </c>
    </row>
    <row r="102" spans="1:2" ht="15" thickBot="1">
      <c r="A102" s="4">
        <v>96</v>
      </c>
      <c r="B102" s="5">
        <v>73.88</v>
      </c>
    </row>
    <row r="103" spans="1:2" ht="15" thickBot="1">
      <c r="A103" s="4">
        <v>97</v>
      </c>
      <c r="B103" s="5">
        <v>82.55</v>
      </c>
    </row>
    <row r="104" spans="1:2" ht="15" thickBot="1">
      <c r="A104" s="4">
        <v>98</v>
      </c>
      <c r="B104" s="5">
        <v>77.12</v>
      </c>
    </row>
    <row r="105" spans="1:2" ht="15" thickBot="1">
      <c r="A105" s="4">
        <v>99</v>
      </c>
      <c r="B105" s="5">
        <v>64.989999999999995</v>
      </c>
    </row>
    <row r="106" spans="1:2" ht="15" thickBot="1">
      <c r="A106" s="4">
        <v>100</v>
      </c>
      <c r="B106" s="5">
        <v>75.25</v>
      </c>
    </row>
    <row r="107" spans="1:2" ht="56.5" thickBot="1">
      <c r="A107" s="4" t="s">
        <v>25</v>
      </c>
      <c r="B107">
        <f>COUNTIF(B5:B100, "&gt;85")</f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Sheet6</vt:lpstr>
      <vt:lpstr>Sheet5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</dc:creator>
  <cp:lastModifiedBy>HAMZA</cp:lastModifiedBy>
  <dcterms:created xsi:type="dcterms:W3CDTF">2026-01-16T12:25:18Z</dcterms:created>
  <dcterms:modified xsi:type="dcterms:W3CDTF">2026-01-16T18:00:39Z</dcterms:modified>
</cp:coreProperties>
</file>